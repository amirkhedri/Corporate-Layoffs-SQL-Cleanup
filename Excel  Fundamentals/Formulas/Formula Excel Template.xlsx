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Excel\Formulas\"/>
    </mc:Choice>
  </mc:AlternateContent>
  <xr:revisionPtr revIDLastSave="0" documentId="13_ncr:1_{D822BBAC-F15F-4212-A2F2-107E99F39667}" xr6:coauthVersionLast="47" xr6:coauthVersionMax="47" xr10:uidLastSave="{00000000-0000-0000-0000-000000000000}"/>
  <bookViews>
    <workbookView xWindow="-110" yWindow="-110" windowWidth="25820" windowHeight="14620" firstSheet="3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J2" i="13"/>
  <c r="P2" i="12" a="1"/>
  <c r="P2" i="12" s="1"/>
  <c r="O2" i="12"/>
  <c r="N2" i="12"/>
  <c r="K2" i="8" a="1"/>
  <c r="K2" i="8" s="1"/>
  <c r="L2" i="8" a="1"/>
  <c r="L2" i="8" s="1"/>
  <c r="L1" i="8" a="1"/>
  <c r="L1" i="8" s="1"/>
  <c r="L2" i="5"/>
  <c r="K2" i="5"/>
  <c r="J2" i="5"/>
  <c r="M2" i="12"/>
  <c r="L2" i="12"/>
  <c r="K2" i="12"/>
  <c r="J2" i="12"/>
  <c r="L2" i="7" a="1"/>
  <c r="L2" i="7" s="1"/>
  <c r="J2" i="1" a="1"/>
  <c r="J2" i="1" s="1"/>
  <c r="J2" i="3" a="1"/>
  <c r="J2" i="3" s="1"/>
  <c r="N2" i="4" a="1"/>
  <c r="N2" i="4" s="1"/>
  <c r="M2" i="4" a="1"/>
  <c r="M2" i="4" s="1"/>
  <c r="L2" i="4" a="1"/>
  <c r="L2" i="4" s="1"/>
  <c r="K2" i="4" a="1"/>
  <c r="K2" i="4" s="1"/>
  <c r="K2" i="2" a="1"/>
  <c r="K2" i="2" s="1"/>
  <c r="J2" i="2" a="1"/>
  <c r="J2" i="2" s="1"/>
  <c r="J2" i="8" a="1"/>
  <c r="J2" i="8" s="1"/>
  <c r="K3" i="9"/>
  <c r="K2" i="9"/>
  <c r="J3" i="9"/>
  <c r="J2" i="9"/>
  <c r="H11" i="1"/>
  <c r="H12" i="1"/>
  <c r="J2" i="6" a="1"/>
  <c r="J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<sst xmlns="http://schemas.openxmlformats.org/spreadsheetml/2006/main" count="584" uniqueCount="90">
  <si>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</si>
  <si>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</si>
  <si>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</si>
  <si>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</si>
  <si>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</si>
  <si>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</si>
  <si>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</si>
  <si>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</si>
  <si>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</si>
  <si>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</si>
  <si>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</si>
  <si>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</si>
  <si>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</si>
  <si>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</si>
  <si>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</si>
  <si>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</si>
  <si>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</si>
  <si>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</si>
  <si>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</si>
  <si>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</si>
  <si>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</si>
  <si>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</si>
  <si>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</si>
  <si>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</si>
  <si>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</si>
  <si>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</si>
  <si>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</si>
  <si>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</si>
  <si>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</si>
  <si>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</si>
  <si>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</si>
  <si>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</si>
  <si>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</si>
  <si>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</si>
  <si>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</si>
  <si>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</si>
  <si>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</si>
  <si>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</si>
  <si>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</si>
  <si>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</si>
  <si>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</si>
  <si>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</si>
  <si>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</si>
  <si>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</si>
  <si>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</si>
  <si>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</si>
  <si>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</si>
  <si>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</si>
  <si>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</si>
  <si>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</si>
  <si>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</si>
  <si>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</si>
  <si>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</si>
  <si>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</si>
  <si>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</si>
  <si>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</si>
  <si>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</si>
  <si>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</si>
  <si>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</si>
  <si>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</si>
  <si>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</si>
  <si>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</si>
  <si>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</si>
  <si>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</si>
  <si>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</si>
  <si>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</si>
  <si>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</si>
  <si>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</si>
  <si>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</si>
  <si>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</si>
  <si>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</si>
  <si>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</si>
  <si>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</si>
  <si>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</si>
  <si>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</si>
  <si>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</si>
  <si>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</si>
  <si>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</si>
  <si>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</si>
  <si>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</si>
  <si>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</si>
  <si>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</si>
  <si>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</si>
  <si>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</si>
  <si>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</si>
  <si>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</si>
  <si>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</si>
  <si>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</si>
  <si>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Text to date start</t>
  </si>
  <si>
    <t>only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</si>
</sst>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D1" workbookViewId="0">
      <selection activeCell="K4" sqref="K4"/>
    </sheetView>
  </sheetViews>
  <sheetFormatPr defaultColWidth="13.6328125" defaultRowHeight="14.5" x14ac:dyDescent="0.35"/>
  <cols>
    <col min="1" max="11" width="25.6328125" customWidth="1"/>
  </cols>
  <sheetData>
    <row r="1" spans="1:11" ht="25" customHeight="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ht="25" customHeight="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MAX(H1:H10)</f>
        <v>37933</v>
      </c>
      <c r="K2" s="1">
        <f>MIN(I2:I10)</f>
        <v>40800</v>
      </c>
    </row>
    <row r="3" spans="1:11" ht="25" customHeight="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MAX(G1:G10)</f>
        <v>65000</v>
      </c>
      <c r="K3">
        <f>MIN(G2:G10)</f>
        <v>36000</v>
      </c>
    </row>
    <row r="4" spans="1:11" ht="25" customHeight="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ht="25" customHeight="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ht="25" customHeight="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ht="25" customHeight="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ht="25" customHeight="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ht="25" customHeight="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ht="25" customHeight="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0"/>
  <sheetViews>
    <sheetView workbookViewId="0">
      <selection activeCell="L5" sqref="L5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9" max="9" width="16" customWidth="1"/>
    <col min="10" max="10" width="18.08984375" customWidth="1"/>
    <col min="11" max="11" width="22.906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  <c r="L1" t="str" cm="1">
        <f t="array" ref="L1">_xlfn.IFS(AND(F2="Salesman", G2&gt;45000), "Fired", TRUE, "")</f>
        <v/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_xlfn.IFS(F2:F10="HR", "Lovely",F2:F10 ="Salesman", "Fired",F2:F10 ="Receptionist", "Extra",TRUE,"")</f>
        <v>Fired</v>
      </c>
      <c r="L2" t="str" cm="1">
        <f t="array" ref="L2:L10">_xlfn.IFS((F2:F10="Salesman")*(G2:G10&gt;45000), "Fired", TRUE, "")</f>
        <v/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Extra</v>
      </c>
      <c r="L3" t="str">
        <v/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Fired</v>
      </c>
      <c r="L4" t="str">
        <v>Fired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/>
      </c>
      <c r="L5" t="str">
        <v/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Lovely</v>
      </c>
      <c r="L6" t="str">
        <v/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/>
      </c>
      <c r="L7" t="str">
        <v/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/>
      </c>
      <c r="L8" t="str">
        <v/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Fired</v>
      </c>
      <c r="L9" t="str">
        <v>Fired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/>
      </c>
      <c r="L10" t="str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L5" sqref="L5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  <c r="K2" t="str" cm="1">
        <f t="array" ref="K2:K10">IF(LEN(B2:B10) &gt; 5, "Valid", "Not Valid")</f>
        <v>Not Valid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3</v>
      </c>
      <c r="K3" t="str">
        <v>Not Valid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6</v>
      </c>
      <c r="K4" t="str">
        <v>Valid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  <c r="K5" t="str">
        <v>Valid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  <c r="K6" t="str">
        <v>Not Valid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  <c r="K7" t="str">
        <v>Valid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  <c r="K8" t="str">
        <v>Valid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  <c r="K9" t="str">
        <v>Valid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  <c r="K10" t="str">
        <v>Not Valid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N10"/>
  <sheetViews>
    <sheetView topLeftCell="B1" workbookViewId="0">
      <selection activeCell="H2" sqref="H2"/>
    </sheetView>
  </sheetViews>
  <sheetFormatPr defaultColWidth="14.54296875" defaultRowHeight="14.5" x14ac:dyDescent="0.35"/>
  <cols>
    <col min="4" max="4" width="8" customWidth="1"/>
    <col min="10" max="10" width="42.1796875" customWidth="1"/>
    <col min="11" max="11" width="16.90625" customWidth="1"/>
    <col min="12" max="12" width="15.90625" customWidth="1"/>
    <col min="13" max="13" width="15.36328125" customWidth="1"/>
    <col min="14" max="14" width="17.26953125" customWidth="1"/>
  </cols>
  <sheetData>
    <row r="1" spans="1:14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88</v>
      </c>
      <c r="N1" t="s">
        <v>89</v>
      </c>
    </row>
    <row r="2" spans="1:14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RIGHT(C2:C10,2)</f>
        <v>rt</v>
      </c>
      <c r="M2" t="str" cm="1">
        <f t="array" ref="M2:M10">TEXT(H2:H10,"dd/mm/yyyy")</f>
        <v>02/11/2001</v>
      </c>
      <c r="N2" t="str" cm="1">
        <f t="array" ref="N2:N10">RIGHT(_xlfn.ANCHORARRAY(M2), 4)</f>
        <v>2001</v>
      </c>
    </row>
    <row r="3" spans="1:14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2" t="s">
        <v>57</v>
      </c>
      <c r="J3" s="1" t="s">
        <v>40</v>
      </c>
      <c r="K3" t="str">
        <v>Pam</v>
      </c>
      <c r="L3" t="str">
        <v>ey</v>
      </c>
      <c r="M3" t="str">
        <v>03/10/1999</v>
      </c>
      <c r="N3" t="str">
        <v>1999</v>
      </c>
    </row>
    <row r="4" spans="1:14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2" t="s">
        <v>58</v>
      </c>
      <c r="J4" s="1" t="s">
        <v>41</v>
      </c>
      <c r="K4" t="str">
        <v>Dwi</v>
      </c>
      <c r="L4" t="str">
        <v>te</v>
      </c>
      <c r="M4" t="str">
        <v>04/07/2000</v>
      </c>
      <c r="N4" t="str">
        <v>2000</v>
      </c>
    </row>
    <row r="5" spans="1:14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2" t="s">
        <v>59</v>
      </c>
      <c r="J5" s="1" t="s">
        <v>42</v>
      </c>
      <c r="K5" t="str">
        <v>Ang</v>
      </c>
      <c r="L5" t="str">
        <v>in</v>
      </c>
      <c r="M5" t="str">
        <v>05/01/2000</v>
      </c>
      <c r="N5" t="str">
        <v>2000</v>
      </c>
    </row>
    <row r="6" spans="1:14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2" t="s">
        <v>60</v>
      </c>
      <c r="J6" s="1" t="s">
        <v>43</v>
      </c>
      <c r="K6" t="str">
        <v>Tob</v>
      </c>
      <c r="L6" t="str">
        <v>on</v>
      </c>
      <c r="M6" t="str">
        <v>06/05/2001</v>
      </c>
      <c r="N6" t="str">
        <v>2001</v>
      </c>
    </row>
    <row r="7" spans="1:14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2" t="s">
        <v>61</v>
      </c>
      <c r="J7" s="1" t="s">
        <v>44</v>
      </c>
      <c r="K7" t="str">
        <v>Mic</v>
      </c>
      <c r="L7" t="str">
        <v>tt</v>
      </c>
      <c r="M7" t="str">
        <v>06/05/2001</v>
      </c>
      <c r="N7" t="str">
        <v>2001</v>
      </c>
    </row>
    <row r="8" spans="1:14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2" t="s">
        <v>61</v>
      </c>
      <c r="J8" s="1" t="s">
        <v>45</v>
      </c>
      <c r="K8" t="str">
        <v>Mer</v>
      </c>
      <c r="L8" t="str">
        <v>er</v>
      </c>
      <c r="M8" t="str">
        <v>08/11/2003</v>
      </c>
      <c r="N8" t="str">
        <v>2003</v>
      </c>
    </row>
    <row r="9" spans="1:14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2" t="s">
        <v>62</v>
      </c>
      <c r="J9" s="1" t="s">
        <v>46</v>
      </c>
      <c r="K9" t="str">
        <v>Sta</v>
      </c>
      <c r="L9" t="str">
        <v>on</v>
      </c>
      <c r="M9" t="str">
        <v>09/06/2002</v>
      </c>
      <c r="N9" t="str">
        <v>2002</v>
      </c>
    </row>
    <row r="10" spans="1:14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2" t="s">
        <v>62</v>
      </c>
      <c r="J10" s="1" t="s">
        <v>47</v>
      </c>
      <c r="K10" t="str">
        <v>Kev</v>
      </c>
      <c r="L10" t="str">
        <v>ne</v>
      </c>
      <c r="M10" t="str">
        <v>10/08/2003</v>
      </c>
      <c r="N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6" sqref="J6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9" max="9" width="16.26953125" customWidth="1"/>
    <col min="10" max="10" width="22.179687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L2" t="str" cm="1">
        <f t="array" ref="L2:L10">SUBSTITUTE(H2:H10,"/","-")</f>
        <v>11-2-2001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L3" t="str">
        <v>10-3-1999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L4" t="str">
        <v>7-4-2000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L5" t="str">
        <v>1-5-2000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L6" t="str">
        <v>5-6-2001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L7" t="str">
        <v>5-6-2001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L8" t="str">
        <v>11-8-2003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L9" t="str">
        <v>6-9-2002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L10" t="str">
        <v>8-10-2003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P10"/>
  <sheetViews>
    <sheetView workbookViewId="0">
      <selection activeCell="P3" sqref="P3"/>
    </sheetView>
  </sheetViews>
  <sheetFormatPr defaultColWidth="13" defaultRowHeight="14.5" x14ac:dyDescent="0.35"/>
  <sheetData>
    <row r="1" spans="1:16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6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 G2:G10, "&gt;50000",G2:G10,"&lt;65000")</f>
        <v>63000</v>
      </c>
      <c r="M2">
        <f>SUMIFS(G2:G10,D2:D10,"&gt;30",E2:E10, "=Female")</f>
        <v>88000</v>
      </c>
      <c r="N2">
        <f>SUMIFS(A2:A10,D2:D10,"&gt;30")</f>
        <v>6039</v>
      </c>
      <c r="O2">
        <f>SUMIFS(A2:A10,D2:D10,"&gt;30")+SUMIFS(G2:G10,D2:D10,"&gt;30")</f>
        <v>299039</v>
      </c>
      <c r="P2" t="str" cm="1">
        <f t="array" ref="P2:P10">IF(D2:D10&gt;30,A2:A10+G2:G10,"")</f>
        <v/>
      </c>
    </row>
    <row r="3" spans="1:16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P3" t="str">
        <v/>
      </c>
    </row>
    <row r="4" spans="1:16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P4" t="str">
        <v/>
      </c>
    </row>
    <row r="5" spans="1:16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P5">
        <v>48004</v>
      </c>
    </row>
    <row r="6" spans="1:16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P6">
        <v>51005</v>
      </c>
    </row>
    <row r="7" spans="1:16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P7">
        <v>66006</v>
      </c>
    </row>
    <row r="8" spans="1:16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P8">
        <v>42007</v>
      </c>
    </row>
    <row r="9" spans="1:16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P9">
        <v>49008</v>
      </c>
    </row>
    <row r="10" spans="1:16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P10">
        <v>43009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COUNTIF(D2:D10, "&lt;30")</f>
        <v>1</v>
      </c>
      <c r="L2">
        <f>COUNTIFS(G2:G10,"&gt;45000 ",D2:D10,"&gt;29")</f>
        <v>4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K3" sqref="K3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35">
      <c r="H11" t="str">
        <f t="shared" ref="H11:H12" si="0">CONCATENATE(B11," ",C11)</f>
        <v xml:space="preserve"> </v>
      </c>
    </row>
    <row r="12" spans="1:10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3" sqref="K3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Amir Khedri</cp:lastModifiedBy>
  <dcterms:created xsi:type="dcterms:W3CDTF">2021-12-16T14:18:34Z</dcterms:created>
  <dcterms:modified xsi:type="dcterms:W3CDTF">2026-08-17T11:16:56Z</dcterms:modified>
</cp:coreProperties>
</file>